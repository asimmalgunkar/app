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ee5e8ddff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Submissions" sheetId="1" r:id="Ra77886b6e11d4087"/>
    <x:sheet xmlns:r="http://schemas.openxmlformats.org/officeDocument/2006/relationships" name="Dashboard" sheetId="2" r:id="R1d0e9f82de4342aa"/>
    <x:sheet xmlns:r="http://schemas.openxmlformats.org/officeDocument/2006/relationships" name="Lists" sheetId="3" r:id="R53e5c78f4ffa48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wrapText="1"/>
    </x:xf>
    <x:xf numFmtId="201" fontId="1" fillId="2" borderId="0" xfId="0" applyNumberFormat="1" applyFont="1" applyFill="1" applyBorder="1" applyAlignment="1">
      <x:alignment horizontal="center" wrapText="1"/>
    </x:xf>
    <x:xf numFmtId="201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f1ddf89504ef6" /><Relationship Type="http://schemas.openxmlformats.org/officeDocument/2006/relationships/theme" Target="/xl/theme/theme1.xml" Id="Rcada12d257454ed8" /><Relationship Type="http://schemas.openxmlformats.org/officeDocument/2006/relationships/sharedStrings" Target="/xl/sharedStrings.xml" Id="Rcd96f8c8c4f8450e" /><Relationship Type="http://schemas.openxmlformats.org/officeDocument/2006/relationships/worksheet" Target="/xl/worksheets/sheet1.xml" Id="Ra77886b6e11d4087" /><Relationship Type="http://schemas.openxmlformats.org/officeDocument/2006/relationships/worksheet" Target="/xl/worksheets/sheet2.xml" Id="R1d0e9f82de4342aa" /><Relationship Type="http://schemas.openxmlformats.org/officeDocument/2006/relationships/worksheet" Target="/xl/worksheets/sheet3.xml" Id="R53e5c78f4ffa48f9" /></Relationships>
</file>

<file path=xl/tables/table1.xml><?xml version="1.0" encoding="utf-8"?>
<x:table xmlns:x="http://schemas.openxmlformats.org/spreadsheetml/2006/main" id="1" name="DailySubmissions" displayName="DailySubmissions" ref="A1:AY2" headerRowCount="1">
  <x:tableColumns count="51">
    <x:tableColumn id="1" name="Submission ID"/>
    <x:tableColumn id="2" name="Date"/>
    <x:tableColumn id="3" name="Time"/>
    <x:tableColumn id="4" name="Store"/>
    <x:tableColumn id="5" name="Department"/>
    <x:tableColumn id="6" name="POS ID"/>
    <x:tableColumn id="7" name="Cashier"/>
    <x:tableColumn id="8" name="Manager"/>
    <x:tableColumn id="9" name="Shift"/>
    <x:tableColumn id="10" name="Float Amount"/>
    <x:tableColumn id="11" name="AED 1000 Qty"/>
    <x:tableColumn id="12" name="AED 1000 Total"/>
    <x:tableColumn id="13" name="AED 500 Qty"/>
    <x:tableColumn id="14" name="AED 500 Total"/>
    <x:tableColumn id="15" name="AED 200 Qty"/>
    <x:tableColumn id="16" name="AED 200 Total"/>
    <x:tableColumn id="17" name="AED 100 Qty"/>
    <x:tableColumn id="18" name="AED 100 Total"/>
    <x:tableColumn id="19" name="AED 50 Qty"/>
    <x:tableColumn id="20" name="AED 50 Total"/>
    <x:tableColumn id="21" name="AED 20 Qty"/>
    <x:tableColumn id="22" name="AED 20 Total"/>
    <x:tableColumn id="23" name="AED 10 Qty"/>
    <x:tableColumn id="24" name="AED 10 Total"/>
    <x:tableColumn id="25" name="AED 5 Qty"/>
    <x:tableColumn id="26" name="AED 5 Total"/>
    <x:tableColumn id="27" name="Coins Total"/>
    <x:tableColumn id="28" name="Total Cash"/>
    <x:tableColumn id="29" name="Visa"/>
    <x:tableColumn id="30" name="MasterCard"/>
    <x:tableColumn id="31" name="Amex"/>
    <x:tableColumn id="32" name="TPV Vouchers"/>
    <x:tableColumn id="33" name="Other Card"/>
    <x:tableColumn id="34" name="Card Total"/>
    <x:tableColumn id="35" name="USD"/>
    <x:tableColumn id="36" name="GBP"/>
    <x:tableColumn id="37" name="EUR"/>
    <x:tableColumn id="38" name="SAR"/>
    <x:tableColumn id="39" name="OMR"/>
    <x:tableColumn id="40" name="KWD"/>
    <x:tableColumn id="41" name="BHD"/>
    <x:tableColumn id="42" name="QAR"/>
    <x:tableColumn id="43" name="Foreign Total AED"/>
    <x:tableColumn id="44" name="Grand Total"/>
    <x:tableColumn id="45" name="Expected POS Total"/>
    <x:tableColumn id="46" name="Difference"/>
    <x:tableColumn id="47" name="Status"/>
    <x:tableColumn id="48" name="Manager Comment"/>
    <x:tableColumn id="49" name="Cashier Signature"/>
    <x:tableColumn id="50" name="Manager Signature"/>
    <x:tableColumn id="51" name="Created 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368dab63924b48" /></Relationships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5.25" hidden="0" customWidth="1"/>
    <x:col min="3" max="3" width="4.75" hidden="0" customWidth="1"/>
    <x:col min="4" max="4" width="13.380000114440918" hidden="0" customWidth="1"/>
    <x:col min="5" max="5" width="9.880000114440918" hidden="0" customWidth="1"/>
    <x:col min="6" max="6" width="6" hidden="0" customWidth="1"/>
    <x:col min="7" max="7" width="10.880000114440918" hidden="0" customWidth="1"/>
    <x:col min="8" max="8" width="12.130000114440918" hidden="0" customWidth="1"/>
    <x:col min="9" max="9" width="6.380000114440918" hidden="0" customWidth="1"/>
    <x:col min="10" max="10" width="11" hidden="0" customWidth="1"/>
    <x:col min="11" max="11" width="11" hidden="0" customWidth="1"/>
    <x:col min="12" max="12" width="12" hidden="0" customWidth="1"/>
    <x:col min="13" max="13" width="10.130000114440918" hidden="0" customWidth="1"/>
    <x:col min="14" max="14" width="11" hidden="0" customWidth="1"/>
    <x:col min="15" max="15" width="10.130000114440918" hidden="0" customWidth="1"/>
    <x:col min="16" max="16" width="11" hidden="0" customWidth="1"/>
    <x:col min="17" max="17" width="10.130000114440918" hidden="0" customWidth="1"/>
    <x:col min="18" max="18" width="11" hidden="0" customWidth="1"/>
    <x:col min="19" max="19" width="9.130000114440918" hidden="0" customWidth="1"/>
    <x:col min="20" max="20" width="10.130000114440918" hidden="0" customWidth="1"/>
    <x:col min="21" max="21" width="9.130000114440918" hidden="0" customWidth="1"/>
    <x:col min="22" max="22" width="10.130000114440918" hidden="0" customWidth="1"/>
    <x:col min="23" max="23" width="9.130000114440918" hidden="0" customWidth="1"/>
    <x:col min="24" max="24" width="10.130000114440918" hidden="0" customWidth="1"/>
    <x:col min="25" max="25" width="8.25" hidden="0" customWidth="1"/>
    <x:col min="26" max="26" width="9.130000114440918" hidden="0" customWidth="1"/>
    <x:col min="27" max="27" width="8.75" hidden="0" customWidth="1"/>
    <x:col min="28" max="28" width="8.25" hidden="0" customWidth="1"/>
    <x:col min="29" max="29" width="3.75" hidden="0" customWidth="1"/>
    <x:col min="30" max="30" width="9.5" hidden="0" customWidth="1"/>
    <x:col min="31" max="31" width="4.880000114440918" hidden="0" customWidth="1"/>
    <x:col min="32" max="32" width="10.880000114440918" hidden="0" customWidth="1"/>
    <x:col min="33" max="33" width="8.880000114440918" hidden="0" customWidth="1"/>
    <x:col min="34" max="34" width="8.130000114440918" hidden="0" customWidth="1"/>
    <x:col min="35" max="35" width="3.75" hidden="0" customWidth="1"/>
    <x:col min="36" max="36" width="3.75" hidden="0" customWidth="1"/>
    <x:col min="37" max="37" width="3.630000114440918" hidden="0" customWidth="1"/>
    <x:col min="38" max="38" width="3.5" hidden="0" customWidth="1"/>
    <x:col min="39" max="39" width="4.380000114440918" hidden="0" customWidth="1"/>
    <x:col min="40" max="40" width="4.380000114440918" hidden="0" customWidth="1"/>
    <x:col min="41" max="41" width="3.880000114440918" hidden="0" customWidth="1"/>
    <x:col min="42" max="42" width="4" hidden="0" customWidth="1"/>
    <x:col min="43" max="43" width="13.880000114440918" hidden="0" customWidth="1"/>
    <x:col min="44" max="44" width="9.380000114440918" hidden="0" customWidth="1"/>
    <x:col min="45" max="45" width="15.130000114440918" hidden="0" customWidth="1"/>
    <x:col min="46" max="46" width="8.380000114440918" hidden="0" customWidth="1"/>
    <x:col min="47" max="47" width="5.25" hidden="0" customWidth="1"/>
    <x:col min="48" max="48" width="15.25" hidden="0" customWidth="1"/>
    <x:col min="49" max="49" width="13.75" hidden="0" customWidth="1"/>
    <x:col min="50" max="50" width="15" hidden="0" customWidth="1"/>
    <x:col min="51" max="51" width="10.25" hidden="0" customWidth="1"/>
  </x:cols>
  <x:sheetData>
    <x:row r="1">
      <x:c r="A1" s="5" t="str">
        <x:v>Submission ID</x:v>
      </x:c>
      <x:c r="B1" s="10" t="str">
        <x:v>Date</x:v>
      </x:c>
      <x:c r="C1" s="5" t="str">
        <x:v>Time</x:v>
      </x:c>
      <x:c r="D1" s="5" t="str">
        <x:v>Store</x:v>
      </x:c>
      <x:c r="E1" s="5" t="str">
        <x:v>Department</x:v>
      </x:c>
      <x:c r="F1" s="5" t="str">
        <x:v>POS ID</x:v>
      </x:c>
      <x:c r="G1" s="5" t="str">
        <x:v>Cashier</x:v>
      </x:c>
      <x:c r="H1" s="5" t="str">
        <x:v>Manager</x:v>
      </x:c>
      <x:c r="I1" s="5" t="str">
        <x:v>Shift</x:v>
      </x:c>
      <x:c r="J1" s="12" t="str">
        <x:v>Float Amount</x:v>
      </x:c>
      <x:c r="K1" s="12" t="str">
        <x:v>AED 1000 Qty</x:v>
      </x:c>
      <x:c r="L1" s="12" t="str">
        <x:v>AED 1000 Total</x:v>
      </x:c>
      <x:c r="M1" s="12" t="str">
        <x:v>AED 500 Qty</x:v>
      </x:c>
      <x:c r="N1" s="12" t="str">
        <x:v>AED 500 Total</x:v>
      </x:c>
      <x:c r="O1" s="12" t="str">
        <x:v>AED 200 Qty</x:v>
      </x:c>
      <x:c r="P1" s="12" t="str">
        <x:v>AED 200 Total</x:v>
      </x:c>
      <x:c r="Q1" s="12" t="str">
        <x:v>AED 100 Qty</x:v>
      </x:c>
      <x:c r="R1" s="12" t="str">
        <x:v>AED 100 Total</x:v>
      </x:c>
      <x:c r="S1" s="12" t="str">
        <x:v>AED 50 Qty</x:v>
      </x:c>
      <x:c r="T1" s="12" t="str">
        <x:v>AED 50 Total</x:v>
      </x:c>
      <x:c r="U1" s="12" t="str">
        <x:v>AED 20 Qty</x:v>
      </x:c>
      <x:c r="V1" s="12" t="str">
        <x:v>AED 20 Total</x:v>
      </x:c>
      <x:c r="W1" s="12" t="str">
        <x:v>AED 10 Qty</x:v>
      </x:c>
      <x:c r="X1" s="12" t="str">
        <x:v>AED 10 Total</x:v>
      </x:c>
      <x:c r="Y1" s="12" t="str">
        <x:v>AED 5 Qty</x:v>
      </x:c>
      <x:c r="Z1" s="12" t="str">
        <x:v>AED 5 Total</x:v>
      </x:c>
      <x:c r="AA1" s="12" t="str">
        <x:v>Coins Total</x:v>
      </x:c>
      <x:c r="AB1" s="12" t="str">
        <x:v>Total Cash</x:v>
      </x:c>
      <x:c r="AC1" s="12" t="str">
        <x:v>Visa</x:v>
      </x:c>
      <x:c r="AD1" s="12" t="str">
        <x:v>MasterCard</x:v>
      </x:c>
      <x:c r="AE1" s="12" t="str">
        <x:v>Amex</x:v>
      </x:c>
      <x:c r="AF1" s="12" t="str">
        <x:v>TPV Vouchers</x:v>
      </x:c>
      <x:c r="AG1" s="12" t="str">
        <x:v>Other Card</x:v>
      </x:c>
      <x:c r="AH1" s="12" t="str">
        <x:v>Card Total</x:v>
      </x:c>
      <x:c r="AI1" s="12" t="str">
        <x:v>USD</x:v>
      </x:c>
      <x:c r="AJ1" s="12" t="str">
        <x:v>GBP</x:v>
      </x:c>
      <x:c r="AK1" s="12" t="str">
        <x:v>EUR</x:v>
      </x:c>
      <x:c r="AL1" s="12" t="str">
        <x:v>SAR</x:v>
      </x:c>
      <x:c r="AM1" s="12" t="str">
        <x:v>OMR</x:v>
      </x:c>
      <x:c r="AN1" s="12" t="str">
        <x:v>KWD</x:v>
      </x:c>
      <x:c r="AO1" s="12" t="str">
        <x:v>BHD</x:v>
      </x:c>
      <x:c r="AP1" s="12" t="str">
        <x:v>QAR</x:v>
      </x:c>
      <x:c r="AQ1" s="12" t="str">
        <x:v>Foreign Total AED</x:v>
      </x:c>
      <x:c r="AR1" s="12" t="str">
        <x:v>Grand Total</x:v>
      </x:c>
      <x:c r="AS1" s="12" t="str">
        <x:v>Expected POS Total</x:v>
      </x:c>
      <x:c r="AT1" s="12" t="str">
        <x:v>Difference</x:v>
      </x:c>
      <x:c r="AU1" s="12" t="str">
        <x:v>Status</x:v>
      </x:c>
      <x:c r="AV1" s="5" t="str">
        <x:v>Manager Comment</x:v>
      </x:c>
      <x:c r="AW1" s="5" t="str">
        <x:v>Cashier Signature</x:v>
      </x:c>
      <x:c r="AX1" s="5" t="str">
        <x:v>Manager Signature</x:v>
      </x:c>
      <x:c r="AY1" s="5" t="str">
        <x:v>Created At</x:v>
      </x:c>
    </x:row>
    <x:row r="2">
      <x:c r="A2" t="str">
        <x:v>SAMPLE-001</x:v>
      </x:c>
      <x:c r="B2" t="n">
        <x:v>46206</x:v>
      </x:c>
      <x:c r="C2" t="str">
        <x:v>15:30</x:v>
      </x:c>
      <x:c r="D2" t="str">
        <x:v>Glitch Dubai Mall</x:v>
      </x:c>
      <x:c r="E2" t="str">
        <x:v>Operations</x:v>
      </x:c>
      <x:c r="F2" t="str">
        <x:v>POS-01</x:v>
      </x:c>
      <x:c r="G2" t="str">
        <x:v>Cashier Name</x:v>
      </x:c>
      <x:c r="H2" t="str">
        <x:v>Manager Name</x:v>
      </x:c>
      <x:c r="I2" t="str">
        <x:v>Evening</x:v>
      </x:c>
      <x:c r="J2" t="n">
        <x:v>2500</x:v>
      </x:c>
      <x:c r="K2" t="n">
        <x:v>0</x:v>
      </x:c>
      <x:c r="L2" t="n">
        <x:f>K2*1000</x:f>
        <x:v>0</x:v>
      </x:c>
      <x:c r="M2" t="n">
        <x:v>0</x:v>
      </x:c>
      <x:c r="N2" t="n">
        <x:f>M2*500</x:f>
        <x:v>0</x:v>
      </x:c>
      <x:c r="O2" t="n">
        <x:v>0</x:v>
      </x:c>
      <x:c r="P2" t="n">
        <x:f>O2*200</x:f>
        <x:v>0</x:v>
      </x:c>
      <x:c r="Q2" t="n">
        <x:v>0</x:v>
      </x:c>
      <x:c r="R2" t="n">
        <x:f>Q2*100</x:f>
        <x:v>0</x:v>
      </x:c>
      <x:c r="S2" t="n">
        <x:v>0</x:v>
      </x:c>
      <x:c r="T2" t="n">
        <x:f>S2*50</x:f>
        <x:v>0</x:v>
      </x:c>
      <x:c r="U2" t="n">
        <x:v>0</x:v>
      </x:c>
      <x:c r="V2" t="n">
        <x:f>U2*20</x:f>
        <x:v>0</x:v>
      </x:c>
      <x:c r="W2" t="n">
        <x:v>0</x:v>
      </x:c>
      <x:c r="X2" t="n">
        <x:f>W2*10</x:f>
        <x:v>0</x:v>
      </x:c>
      <x:c r="Y2" t="n">
        <x:v>0</x:v>
      </x:c>
      <x:c r="Z2" t="n">
        <x:f>Y2*5</x:f>
        <x:v>0</x:v>
      </x:c>
      <x:c r="AA2" t="n">
        <x:v>0</x:v>
      </x:c>
      <x:c r="AB2" t="n">
        <x:f>SUM(L2,N2,P2,R2,T2,V2,X2,Z2,AA2)</x:f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f>SUM(AC2:AG2)</x:f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/>
      <x:c r="AR2" t="n">
        <x:f>SUM(AI2:AP2)</x:f>
        <x:v>0</x:v>
      </x:c>
      <x:c r="AS2" t="n">
        <x:f>SUM(AB2,AH2,AR2)</x:f>
        <x:v>0</x:v>
      </x:c>
      <x:c r="AT2"/>
      <x:c r="AU2" t="n">
        <x:f>AS2-AT2</x:f>
        <x:v>0</x:v>
      </x:c>
      <x:c r="AV2"/>
      <x:c r="AW2"/>
      <x:c r="AX2"/>
      <x:c r="AY2" t="n">
        <x:v>46206.48139364583</x:v>
      </x:c>
    </x:row>
  </x:sheetData>
  <x:pageMargins left="0.7" right="0.7" top="0.75" bottom="0.75" header="0.3" footer="0.3"/>
  <x:tableParts count="1">
    <x:tablePart xmlns:r="http://schemas.openxmlformats.org/officeDocument/2006/relationships" r:id="Ra2368dab63924b48"/>
  </x:tableParts>
</x:worksheet>
</file>

<file path=xl/worksheets/sheet2.xml><?xml version="1.0" encoding="utf-8"?>
<x:worksheet xmlns:x="http://schemas.openxmlformats.org/spreadsheetml/2006/main">
  <x:sheetFormatPr defaultRowHeight="15"/>
  <x:cols>
    <x:col min="4" max="4" width="11.130000114440918" hidden="0" customWidth="1"/>
    <x:col min="5" max="5" width="5.130000114440918" hidden="0" customWidth="1"/>
    <x:col min="6" max="6" width="6.75" hidden="0" customWidth="1"/>
  </x:cols>
  <x:sheetData>
    <x:row r="1">
      <x:c r="A1" s="16" t="str">
        <x:v>Daily Collection Dashboard</x:v>
      </x:c>
    </x:row>
    <x:row r="3">
      <x:c r="A3" s="22" t="str">
        <x:v>Total Submissions</x:v>
      </x:c>
      <x:c r="B3" s="25" t="n">
        <x:f>COUNTA(Daily_Submissions!A2:A10000)</x:f>
        <x:v>1</x:v>
      </x:c>
      <x:c r="D3" s="3" t="str">
        <x:v>Status</x:v>
      </x:c>
      <x:c r="E3" s="3" t="str">
        <x:v>Count</x:v>
      </x:c>
      <x:c r="F3" s="3" t="str">
        <x:v>Amount</x:v>
      </x:c>
    </x:row>
    <x:row r="4">
      <x:c r="A4" s="22" t="str">
        <x:v>Total Cash</x:v>
      </x:c>
      <x:c r="B4" s="25" t="n">
        <x:f>SUM(Daily_Submissions!AB2:AB10000)</x:f>
        <x:v>0</x:v>
      </x:c>
      <x:c r="D4" t="str">
        <x:v>Pending</x:v>
      </x:c>
      <x:c r="E4" t="n">
        <x:f>COUNTIF(Daily_Submissions!AV2:AV10000,"Pending")</x:f>
        <x:v>0</x:v>
      </x:c>
      <x:c r="F4" s="25" t="n">
        <x:f>SUM(Daily_Submissions!AS2:AS10000)</x:f>
        <x:v>0</x:v>
      </x:c>
    </x:row>
    <x:row r="5">
      <x:c r="A5" s="22" t="str">
        <x:v>Total Card</x:v>
      </x:c>
      <x:c r="B5" s="25" t="n">
        <x:f>SUM(Daily_Submissions!AH2:AH10000)</x:f>
        <x:v>0</x:v>
      </x:c>
      <x:c r="D5" t="str">
        <x:v>Approved</x:v>
      </x:c>
      <x:c r="E5" t="n">
        <x:f>COUNTIF(Daily_Submissions!AV2:AV10000,"Approved")</x:f>
        <x:v>0</x:v>
      </x:c>
      <x:c r="F5" s="25" t="n">
        <x:f>SUMIF(Daily_Submissions!AV2:AV10000,"Approved",Daily_Submissions!AS2:AS10000)</x:f>
        <x:v>0</x:v>
      </x:c>
    </x:row>
    <x:row r="6">
      <x:c r="A6" s="22" t="str">
        <x:v>Foreign Total AED</x:v>
      </x:c>
      <x:c r="B6" s="25" t="n">
        <x:f>SUM(Daily_Submissions!AR2:AR10000)</x:f>
        <x:v>0</x:v>
      </x:c>
      <x:c r="D6" t="str">
        <x:v>Rejected</x:v>
      </x:c>
      <x:c r="E6" t="n">
        <x:f>COUNTIF(Daily_Submissions!AV2:AV10000,"Rejected")</x:f>
        <x:v>0</x:v>
      </x:c>
      <x:c r="F6" s="25" t="n">
        <x:f>SUMIF(Daily_Submissions!AV2:AV10000,"Rejected",Daily_Submissions!AS2:AS10000)</x:f>
        <x:v>0</x:v>
      </x:c>
    </x:row>
    <x:row r="7">
      <x:c r="A7" s="22" t="str">
        <x:v>Grand Total</x:v>
      </x:c>
      <x:c r="B7" s="25" t="n">
        <x:f>SUM(Daily_Submissions!AS2:AS10000)</x:f>
        <x:v>0</x:v>
      </x:c>
      <x:c r="D7" t="str">
        <x:v>Cash Shortage</x:v>
      </x:c>
      <x:c r="E7" t="n">
        <x:f>COUNTIF(Daily_Submissions!AU2:AU10000,"&lt;0")</x:f>
        <x:v>0</x:v>
      </x:c>
      <x:c r="F7" s="25" t="n">
        <x:f>SUMIF(Daily_Submissions!AU2:AU10000,"&lt;0",Daily_Submissions!AU2:AU10000)</x:f>
        <x:v>0</x:v>
      </x:c>
    </x:row>
    <x:row r="8">
      <x:c r="A8" s="22" t="str">
        <x:v>Total Difference</x:v>
      </x:c>
      <x:c r="B8" s="25" t="n">
        <x:f>SUM(Daily_Submissions!AU2:AU10000)</x:f>
        <x:v>0</x:v>
      </x:c>
      <x:c r="D8" t="str">
        <x:v>Cash Excess</x:v>
      </x:c>
      <x:c r="E8" t="n">
        <x:f>COUNTIF(Daily_Submissions!AU2:AU10000,"&gt;0")</x:f>
        <x:v>0</x:v>
      </x:c>
      <x:c r="F8" s="25" t="n">
        <x:f>SUMIF(Daily_Submissions!AU2:AU10000,"&gt;0",Daily_Submissions!AU2:AU10000)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11.380000114440918" hidden="0" customWidth="1"/>
    <x:col min="3" max="3" width="7" hidden="0" customWidth="1"/>
    <x:col min="4" max="4" width="7.75" hidden="0" customWidth="1"/>
  </x:cols>
  <x:sheetData>
    <x:row r="1">
      <x:c r="A1" s="3" t="str">
        <x:v>Stores</x:v>
      </x:c>
      <x:c r="B1" s="3" t="str">
        <x:v>Departments</x:v>
      </x:c>
      <x:c r="C1" s="3" t="str">
        <x:v>Shifts</x:v>
      </x:c>
      <x:c r="D1" s="3" t="str">
        <x:v>Statuses</x:v>
      </x:c>
    </x:row>
    <x:row r="2">
      <x:c r="A2" t="str">
        <x:v>Glitch Dubai Mall</x:v>
      </x:c>
      <x:c r="B2" t="str">
        <x:v>Operations</x:v>
      </x:c>
      <x:c r="C2" t="str">
        <x:v>Morning</x:v>
      </x:c>
      <x:c r="D2" t="str">
        <x:v>Pending</x:v>
      </x:c>
    </x:row>
    <x:row r="3">
      <x:c r="A3" t="str">
        <x:v>Glitch Abu Dhabi</x:v>
      </x:c>
      <x:c r="B3" t="str">
        <x:v>Finance</x:v>
      </x:c>
      <x:c r="C3" t="str">
        <x:v>Evening</x:v>
      </x:c>
      <x:c r="D3" t="str">
        <x:v>Approved</x:v>
      </x:c>
    </x:row>
    <x:row r="4">
      <x:c r="A4" t="str">
        <x:v>Flayva</x:v>
      </x:c>
      <x:c r="B4" t="str">
        <x:v>F&amp;B</x:v>
      </x:c>
      <x:c r="C4" t="str">
        <x:v>Night</x:v>
      </x:c>
      <x:c r="D4" t="str">
        <x:v>Rejected</x:v>
      </x:c>
    </x:row>
    <x:row r="5">
      <x:c r="A5" t="str">
        <x:v>Head Office</x:v>
      </x:c>
      <x:c r="B5" t="str">
        <x:v>Entertainment</x:v>
      </x:c>
    </x:row>
    <x:row r="6">
      <x:c r="A6" t="str">
        <x:v>Other</x:v>
      </x:c>
    </x:row>
  </x:sheetData>
  <x:pageMargins left="0.7" right="0.7" top="0.75" bottom="0.75" header="0.3" footer="0.3"/>
</x:worksheet>
</file>